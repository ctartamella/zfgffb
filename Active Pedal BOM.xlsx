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ris\source\zfgffb\"/>
    </mc:Choice>
  </mc:AlternateContent>
  <xr:revisionPtr revIDLastSave="0" documentId="13_ncr:1_{3A63D2B9-5383-4989-B80A-0BE98734A44B}" xr6:coauthVersionLast="47" xr6:coauthVersionMax="47" xr10:uidLastSave="{00000000-0000-0000-0000-000000000000}"/>
  <bookViews>
    <workbookView xWindow="7890" yWindow="2340" windowWidth="28155" windowHeight="17895" xr2:uid="{7B48C4A4-57E3-4029-9556-E0999BF8FA96}"/>
  </bookViews>
  <sheets>
    <sheet name="Group Buy" sheetId="4" r:id="rId1"/>
    <sheet name="Individual Purchases" sheetId="5" r:id="rId2"/>
    <sheet name="Filament Needed" sheetId="7" r:id="rId3"/>
    <sheet name="Links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4" l="1"/>
  <c r="E27" i="4" s="1"/>
  <c r="F27" i="4" s="1"/>
  <c r="H36" i="4"/>
  <c r="E28" i="4" l="1"/>
  <c r="F28" i="4" s="1"/>
  <c r="H27" i="4"/>
  <c r="I27" i="4"/>
  <c r="E7" i="4"/>
  <c r="F7" i="4" s="1"/>
  <c r="E32" i="4"/>
  <c r="F32" i="4" s="1"/>
  <c r="E19" i="4"/>
  <c r="F19" i="4" s="1"/>
  <c r="E2" i="4"/>
  <c r="F2" i="4" s="1"/>
  <c r="E22" i="4"/>
  <c r="F22" i="4" s="1"/>
  <c r="E8" i="4"/>
  <c r="F8" i="4" s="1"/>
  <c r="E20" i="4"/>
  <c r="F20" i="4" s="1"/>
  <c r="E17" i="4"/>
  <c r="F17" i="4" s="1"/>
  <c r="E12" i="4"/>
  <c r="F12" i="4" s="1"/>
  <c r="E34" i="4"/>
  <c r="F34" i="4" s="1"/>
  <c r="E5" i="4"/>
  <c r="F5" i="4" s="1"/>
  <c r="E24" i="4"/>
  <c r="F24" i="4" s="1"/>
  <c r="E6" i="4"/>
  <c r="F6" i="4" s="1"/>
  <c r="E18" i="4"/>
  <c r="F18" i="4" s="1"/>
  <c r="E4" i="4"/>
  <c r="F4" i="4" s="1"/>
  <c r="E16" i="4"/>
  <c r="F16" i="4" s="1"/>
  <c r="E3" i="4"/>
  <c r="F3" i="4" s="1"/>
  <c r="E15" i="4"/>
  <c r="F15" i="4" s="1"/>
  <c r="E9" i="4"/>
  <c r="F9" i="4" s="1"/>
  <c r="E35" i="4"/>
  <c r="F35" i="4" s="1"/>
  <c r="E10" i="4"/>
  <c r="F10" i="4" s="1"/>
  <c r="E26" i="4"/>
  <c r="F26" i="4" s="1"/>
  <c r="E11" i="4"/>
  <c r="F11" i="4" s="1"/>
  <c r="E25" i="4"/>
  <c r="F25" i="4" s="1"/>
  <c r="E13" i="4"/>
  <c r="F13" i="4" s="1"/>
  <c r="E29" i="4"/>
  <c r="F29" i="4" s="1"/>
  <c r="E14" i="4"/>
  <c r="F14" i="4" s="1"/>
  <c r="E33" i="4"/>
  <c r="F33" i="4" s="1"/>
  <c r="E21" i="4"/>
  <c r="F21" i="4" s="1"/>
  <c r="E31" i="4"/>
  <c r="F31" i="4" s="1"/>
  <c r="E23" i="4"/>
  <c r="F23" i="4" s="1"/>
  <c r="E30" i="4"/>
  <c r="F30" i="4" s="1"/>
  <c r="I28" i="4" l="1"/>
  <c r="H28" i="4"/>
  <c r="H3" i="4"/>
  <c r="I3" i="4"/>
  <c r="H30" i="4"/>
  <c r="I30" i="4"/>
  <c r="H16" i="4"/>
  <c r="I16" i="4"/>
  <c r="H4" i="4"/>
  <c r="I4" i="4"/>
  <c r="H18" i="4"/>
  <c r="I18" i="4"/>
  <c r="H23" i="4"/>
  <c r="I23" i="4"/>
  <c r="H31" i="4"/>
  <c r="I31" i="4"/>
  <c r="H21" i="4"/>
  <c r="I21" i="4"/>
  <c r="H6" i="4"/>
  <c r="I6" i="4"/>
  <c r="H9" i="4"/>
  <c r="I9" i="4"/>
  <c r="H33" i="4"/>
  <c r="I33" i="4"/>
  <c r="H24" i="4"/>
  <c r="I24" i="4"/>
  <c r="H5" i="4"/>
  <c r="I5" i="4"/>
  <c r="H14" i="4"/>
  <c r="I14" i="4"/>
  <c r="H29" i="4"/>
  <c r="I29" i="4"/>
  <c r="H34" i="4"/>
  <c r="I34" i="4"/>
  <c r="H12" i="4"/>
  <c r="I12" i="4"/>
  <c r="H17" i="4"/>
  <c r="I17" i="4"/>
  <c r="H11" i="4"/>
  <c r="I11" i="4"/>
  <c r="H20" i="4"/>
  <c r="I20" i="4"/>
  <c r="H8" i="4"/>
  <c r="I8" i="4"/>
  <c r="H13" i="4"/>
  <c r="I13" i="4"/>
  <c r="H25" i="4"/>
  <c r="I25" i="4"/>
  <c r="H26" i="4"/>
  <c r="I26" i="4"/>
  <c r="H10" i="4"/>
  <c r="I10" i="4"/>
  <c r="H22" i="4"/>
  <c r="I22" i="4"/>
  <c r="H2" i="4"/>
  <c r="I2" i="4"/>
  <c r="H19" i="4"/>
  <c r="I19" i="4"/>
  <c r="H35" i="4"/>
  <c r="I35" i="4"/>
  <c r="H15" i="4"/>
  <c r="I15" i="4"/>
  <c r="H32" i="4"/>
  <c r="I32" i="4"/>
  <c r="H7" i="4"/>
  <c r="I7" i="4"/>
  <c r="H38" i="4" l="1"/>
  <c r="H40" i="4" s="1"/>
  <c r="H41" i="4" s="1"/>
</calcChain>
</file>

<file path=xl/sharedStrings.xml><?xml version="1.0" encoding="utf-8"?>
<sst xmlns="http://schemas.openxmlformats.org/spreadsheetml/2006/main" count="173" uniqueCount="160">
  <si>
    <t>Chris</t>
  </si>
  <si>
    <t>Alex</t>
  </si>
  <si>
    <t>600W PSU</t>
  </si>
  <si>
    <t>350W PSU</t>
  </si>
  <si>
    <t>Part Name</t>
  </si>
  <si>
    <t>Quantity Needed</t>
  </si>
  <si>
    <t>Quantity per Unit</t>
  </si>
  <si>
    <t>Cost</t>
  </si>
  <si>
    <t>MEANWELL LRS-350-36</t>
  </si>
  <si>
    <t>IEC Connector w/ Power Switch</t>
  </si>
  <si>
    <t>https://www.mcmaster.com/5428N118/</t>
  </si>
  <si>
    <t>M3x0.5 Insert</t>
  </si>
  <si>
    <t>M3x0.5 14mm Flat head screw</t>
  </si>
  <si>
    <t>M3x0.5 18mm Flat head screw</t>
  </si>
  <si>
    <t>M4x0.7 10mm Flat head screw</t>
  </si>
  <si>
    <t>MEANWELL LRS-600-36</t>
  </si>
  <si>
    <t>Link</t>
  </si>
  <si>
    <t>JKK60-5-P-150-A1-F4-M</t>
  </si>
  <si>
    <t>https://jlcmc.com/product/s/B16/BQD-JKK60/FA-%E7%9B%B4%E7%BA%BF%E8%BF%90%E5%8A%A8%E9%9B%B6%E4%BB%B6-%E9%92%A2%E5%88%B6%E7%9B%B4%E7%BA%BF%E6%A8%A1%E7%BB%84?productModelNumber=JKK60-5-P-150-A1-F4-M</t>
  </si>
  <si>
    <t>130w NEMA 23 Servo Motor</t>
  </si>
  <si>
    <t>iSV57T-130S</t>
  </si>
  <si>
    <t>https://www.omc-stepperonline.com/nema-23-integrated-easy-servo-motor-130w-3000rpm-0-45nm-63-73oz-in-20-50vdc-servo-motor-short-shaft-isv57t-130s</t>
  </si>
  <si>
    <t>USB-C Extension</t>
  </si>
  <si>
    <t>https://a.co/d/dT4IqKd</t>
  </si>
  <si>
    <t>RG178 U.FL MHF1 to SMA</t>
  </si>
  <si>
    <t>M3x0.5 6mm SHCS</t>
  </si>
  <si>
    <t>M3x0.5 20mm SHCS</t>
  </si>
  <si>
    <t>M4x0.7 Inserts</t>
  </si>
  <si>
    <t>M5x0.8 nut</t>
  </si>
  <si>
    <t>M5x0.8 Insert</t>
  </si>
  <si>
    <t>M5x0.8 18mm SHCS</t>
  </si>
  <si>
    <t>Adhesive Silicon Roll</t>
  </si>
  <si>
    <t>https://a.co/d/0RqzMVF</t>
  </si>
  <si>
    <t>M2.5x0.4 6mm SHCS</t>
  </si>
  <si>
    <t>RP-SMA Male Antenna</t>
  </si>
  <si>
    <t>https://a.co/d/eEIK39s</t>
  </si>
  <si>
    <t>608 ZZ Bearing</t>
  </si>
  <si>
    <t>M8 Nylock Nut</t>
  </si>
  <si>
    <t>M5x0.8 16mm Flat Head</t>
  </si>
  <si>
    <t>M5 Steel Finish Washer</t>
  </si>
  <si>
    <t>8mm OD 4.2mm ID 30mm spacer</t>
  </si>
  <si>
    <t>M4x0.7 Nut</t>
  </si>
  <si>
    <t>M4x0.7 14mm Socket Head Screw</t>
  </si>
  <si>
    <t>M4x0.7 30mm Socket Head Screw</t>
  </si>
  <si>
    <t>8mm x 40mm Dowel Pin</t>
  </si>
  <si>
    <t>Number of Shares</t>
  </si>
  <si>
    <t>Total Needed</t>
  </si>
  <si>
    <t>Units Needed</t>
  </si>
  <si>
    <t>M3x0.5 30mm Flat</t>
  </si>
  <si>
    <t>M3x0.5 16mm Flat</t>
  </si>
  <si>
    <t>M3x0.5 5mm Flat</t>
  </si>
  <si>
    <t>M3 Square Nut</t>
  </si>
  <si>
    <t>M3x0.5 10mm Flat</t>
  </si>
  <si>
    <t>M4x0.7 6mm Flat Head</t>
  </si>
  <si>
    <t>M4x0.7 14mm Flat Head</t>
  </si>
  <si>
    <t>M5x0.8 14mm SHCS</t>
  </si>
  <si>
    <t>M5x08 40mm SHCS</t>
  </si>
  <si>
    <t>M5x0.8 45mm SHCS</t>
  </si>
  <si>
    <t>M8 15mm Button Head</t>
  </si>
  <si>
    <t>M8x1.25 18mm SHCS</t>
  </si>
  <si>
    <t>SHARE PRICE</t>
  </si>
  <si>
    <t>Silicon Tubing</t>
  </si>
  <si>
    <t>Subcost</t>
  </si>
  <si>
    <t>TAX</t>
  </si>
  <si>
    <t>SUB TOTAL</t>
  </si>
  <si>
    <t>TOTAL</t>
  </si>
  <si>
    <t>XT 30 Wiring</t>
  </si>
  <si>
    <t>16 Gauge Wire</t>
  </si>
  <si>
    <t>Qty / Share</t>
  </si>
  <si>
    <t>Jeff</t>
  </si>
  <si>
    <t>Group</t>
  </si>
  <si>
    <t>M3</t>
  </si>
  <si>
    <t>M4</t>
  </si>
  <si>
    <t>M5</t>
  </si>
  <si>
    <t>M8</t>
  </si>
  <si>
    <t>M2.5</t>
  </si>
  <si>
    <t>Misc</t>
  </si>
  <si>
    <t>Part</t>
  </si>
  <si>
    <t>Quantity</t>
  </si>
  <si>
    <t>Part Number</t>
  </si>
  <si>
    <t>Linear rail (Brake)</t>
  </si>
  <si>
    <t>Linear rail (Throttle/Clutch)</t>
  </si>
  <si>
    <t>JKK60-10-P-150-A1-F4-M</t>
  </si>
  <si>
    <t>https://jlcmc.com/product/s/B16/BQD-JKK60/steel-linear-actuators-kk60-series?k=JKK60-10-P-150-A1-F4-M&amp;productModelNumber=JKK60-10-P-150-A1-F4-M</t>
  </si>
  <si>
    <t>Price</t>
  </si>
  <si>
    <t>ChrGri's Orginal FFB Pedal Design</t>
  </si>
  <si>
    <t>https://github.com/ChrGri/DIY-Sim-Racing-FFB-Pedal</t>
  </si>
  <si>
    <t>Has Wiki with info?</t>
  </si>
  <si>
    <t>YES</t>
  </si>
  <si>
    <t>https://discord.gg/zTfQaxpAUz</t>
  </si>
  <si>
    <t>ChrisJamesChamp's Build</t>
  </si>
  <si>
    <t>https://github.com/chrisjameschamp/DIY-Active-Pedal-Design</t>
  </si>
  <si>
    <t>https://discord.com/channels/1113129142142120159/1350718069441429504</t>
  </si>
  <si>
    <t>Dud's Build</t>
  </si>
  <si>
    <t>https://discord.com/channels/1113129142142120159/1390021016717361294</t>
  </si>
  <si>
    <t>https://github.com/gilphilbert/DIY-Sim-Racing-FFB-Pedal-PCBs</t>
  </si>
  <si>
    <t>Gilphilbert v2 Board</t>
  </si>
  <si>
    <t>350W XT30 Support</t>
  </si>
  <si>
    <t>https://makerworld.com/en/models/2140438-350w-power-supply-cover-with-xt30-connector#profileId-2318542</t>
  </si>
  <si>
    <t>Simucube Pedal Design</t>
  </si>
  <si>
    <t>https://docs.simucube.com/ActivePedal/Drawings.html</t>
  </si>
  <si>
    <t>Wifi Bridge Case</t>
  </si>
  <si>
    <t>https://makerworld.com/en/models/1456361-esp32-s3-wroom-case?from=search#profileId-1517915</t>
  </si>
  <si>
    <t>ESP32 Dev board for Wifi Bridge</t>
  </si>
  <si>
    <t>Notes</t>
  </si>
  <si>
    <t>For the same price, getting the 5P version (5mm pitch aka moves 5mm per rotation) is fine</t>
  </si>
  <si>
    <t>Note which is which however for SimHub setup as it is a parameter.</t>
  </si>
  <si>
    <t>Pedal</t>
  </si>
  <si>
    <t>For WiFi support with the bridge, print plate 14</t>
  </si>
  <si>
    <t>For 350W Power supply, print plates 7 and 8</t>
  </si>
  <si>
    <t>For each pedal, print plates 1-6, then print pedal faces as needed (12 or 13 based on desired)</t>
  </si>
  <si>
    <t>For 600W power supply, print plates 9 and 10</t>
  </si>
  <si>
    <t>https://a.co/d/0eLUcZa6</t>
  </si>
  <si>
    <t>https://a.co/d/0a54GfQB</t>
  </si>
  <si>
    <t>Category</t>
  </si>
  <si>
    <t>350W PSU can support 1 and potentially 2 at your discretion</t>
  </si>
  <si>
    <t>600W PSU is required for 3 pedal setups.</t>
  </si>
  <si>
    <t>You'll need pigtails for the PSU and to make custom cables depending on your setup.</t>
  </si>
  <si>
    <t>Daisy chaining is supported with the Gilphilbert boards, or you can go direct from PSU to pedal</t>
  </si>
  <si>
    <t>Wifi</t>
  </si>
  <si>
    <t>https://www.omc-stepperonline.com/lrs-600-36-mean-well-597-6w-36vdc-16-6a-115-230vac-enclosed-switching-power-supply-lrs-600-36?search=LRS-600-36</t>
  </si>
  <si>
    <t>DYLY-107 200kg</t>
  </si>
  <si>
    <t>Load Cell</t>
  </si>
  <si>
    <t>Filament Type</t>
  </si>
  <si>
    <t>Weight Needed</t>
  </si>
  <si>
    <t>PPA-CF</t>
  </si>
  <si>
    <t>Classification</t>
  </si>
  <si>
    <t>Structural</t>
  </si>
  <si>
    <t>Decorative</t>
  </si>
  <si>
    <t>PETG-CF</t>
  </si>
  <si>
    <t>All</t>
  </si>
  <si>
    <t>Anything with reasonable heat resistance</t>
  </si>
  <si>
    <t>Cost/Roll</t>
  </si>
  <si>
    <t>https://a.co/d/01gsQgr3</t>
  </si>
  <si>
    <t>https://a.co/d/0c4b1sY0</t>
  </si>
  <si>
    <t>1 per pedal</t>
  </si>
  <si>
    <t>Aluminum base plate</t>
  </si>
  <si>
    <t>SendCutSend</t>
  </si>
  <si>
    <t>Cost listed was when buying 2.  Buying just one will be a touch more.</t>
  </si>
  <si>
    <t>Discord</t>
  </si>
  <si>
    <t>Web</t>
  </si>
  <si>
    <t>Tools</t>
  </si>
  <si>
    <t>Soldering Iron</t>
  </si>
  <si>
    <t>Heat Shrink Tubing</t>
  </si>
  <si>
    <t>Dupont Wires/connector</t>
  </si>
  <si>
    <t>Optional, but appears to be the cleanest way to connect wires to the stepper motor without soldering</t>
  </si>
  <si>
    <t>Solder</t>
  </si>
  <si>
    <t>Flux</t>
  </si>
  <si>
    <t>Hammer</t>
  </si>
  <si>
    <t>Only 1 total is needed.</t>
  </si>
  <si>
    <t>12 inch CAN work, but 14 is better albeit harder to find.</t>
  </si>
  <si>
    <t>https://www.data-alliance.net/mhf1-to-rp-sma-female-cable-4-inch-6-8-10-12-14-inch-mhf1-mhf/</t>
  </si>
  <si>
    <t>https://a.co/d/09jSDpD9</t>
  </si>
  <si>
    <t>Tolerances were tight for me and this came in handy more than once.</t>
  </si>
  <si>
    <t>M6</t>
  </si>
  <si>
    <t>M6 Nuts</t>
  </si>
  <si>
    <t>M6 Washers</t>
  </si>
  <si>
    <t>Fasteners</t>
  </si>
  <si>
    <t>M6x???</t>
  </si>
  <si>
    <t>Length depends on your mounting plate.  22.3mm is the length needed to reach the bottom of the plate.  Add length as necessary.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</si>
</sst>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.co/d/dT4IqKd" TargetMode="External"/><Relationship Id="rId7" Type="http://schemas.openxmlformats.org/officeDocument/2006/relationships/hyperlink" Target="https://a.co/d/09jSDpD9" TargetMode="External"/><Relationship Id="rId2" Type="http://schemas.openxmlformats.org/officeDocument/2006/relationships/hyperlink" Target="https://jlcmc.com/product/s/B16/BQD-JKK60/FA-%E7%9B%B4%E7%BA%BF%E8%BF%90%E5%8A%A8%E9%9B%B6%E4%BB%B6-%E9%92%A2%E5%88%B6%E7%9B%B4%E7%BA%BF%E6%A8%A1%E7%BB%84?productModelNumber=JKK60-5-P-150-A1-F4-M" TargetMode="External"/><Relationship Id="rId1" Type="http://schemas.openxmlformats.org/officeDocument/2006/relationships/hyperlink" Target="https://www.omc-stepperonline.com/nema-23-integrated-easy-servo-motor-130w-3000rpm-0-45nm-63-73oz-in-20-50vdc-servo-motor-short-shaft-isv57t-130s" TargetMode="External"/><Relationship Id="rId6" Type="http://schemas.openxmlformats.org/officeDocument/2006/relationships/hyperlink" Target="https://a.co/d/0a54GfQB" TargetMode="External"/><Relationship Id="rId5" Type="http://schemas.openxmlformats.org/officeDocument/2006/relationships/hyperlink" Target="https://a.co/d/eEIK39s" TargetMode="External"/><Relationship Id="rId4" Type="http://schemas.openxmlformats.org/officeDocument/2006/relationships/hyperlink" Target="https://www.data-alliance.net/mhf1-to-rp-sma-female-cable-4-inch-6-8-10-12-14-inch-mhf1-mh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4D29E-CC41-4B87-BDEC-C4346A654BBE}">
  <dimension ref="A1:I41"/>
  <sheetViews>
    <sheetView tabSelected="1" workbookViewId="0">
      <selection activeCell="G35" sqref="G35"/>
    </sheetView>
  </sheetViews>
  <sheetFormatPr defaultRowHeight="15" x14ac:dyDescent="0.25"/>
  <cols>
    <col min="2" max="2" width="36" customWidth="1"/>
    <col min="3" max="3" width="25.85546875" customWidth="1"/>
    <col min="4" max="4" width="19" customWidth="1"/>
    <col min="5" max="5" width="14.140625" customWidth="1"/>
    <col min="6" max="6" width="14.85546875" customWidth="1"/>
    <col min="7" max="7" width="16" customWidth="1"/>
    <col min="9" max="9" width="25.85546875" customWidth="1"/>
  </cols>
  <sheetData>
    <row r="1" spans="1:9" x14ac:dyDescent="0.25">
      <c r="A1" t="s">
        <v>70</v>
      </c>
      <c r="B1" t="s">
        <v>4</v>
      </c>
      <c r="C1" t="s">
        <v>5</v>
      </c>
      <c r="D1" t="s">
        <v>6</v>
      </c>
      <c r="E1" t="s">
        <v>46</v>
      </c>
      <c r="F1" t="s">
        <v>47</v>
      </c>
      <c r="G1" t="s">
        <v>7</v>
      </c>
      <c r="H1" t="s">
        <v>62</v>
      </c>
      <c r="I1" t="s">
        <v>68</v>
      </c>
    </row>
    <row r="2" spans="1:9" x14ac:dyDescent="0.25">
      <c r="A2" s="5" t="s">
        <v>71</v>
      </c>
      <c r="B2" t="s">
        <v>50</v>
      </c>
      <c r="C2">
        <v>2</v>
      </c>
      <c r="D2">
        <v>50</v>
      </c>
      <c r="E2">
        <f>C2*$C$38</f>
        <v>14</v>
      </c>
      <c r="F2">
        <f t="shared" ref="F2:F11" si="0">ROUNDUP(E2/D2,0)</f>
        <v>1</v>
      </c>
      <c r="G2">
        <v>7.29</v>
      </c>
      <c r="H2">
        <f>G2*F2</f>
        <v>7.29</v>
      </c>
      <c r="I2">
        <f>ROUNDDOWN(D2*F2/$C$38, 0)</f>
        <v>7</v>
      </c>
    </row>
    <row r="3" spans="1:9" x14ac:dyDescent="0.25">
      <c r="A3" s="5"/>
      <c r="B3" t="s">
        <v>11</v>
      </c>
      <c r="C3">
        <v>15</v>
      </c>
      <c r="D3">
        <v>100</v>
      </c>
      <c r="E3">
        <f>C3*$C$38</f>
        <v>105</v>
      </c>
      <c r="F3">
        <f t="shared" si="0"/>
        <v>2</v>
      </c>
      <c r="G3">
        <v>8.69</v>
      </c>
      <c r="H3">
        <f t="shared" ref="H3:H36" si="1">G3*F3</f>
        <v>17.38</v>
      </c>
      <c r="I3">
        <f>ROUNDDOWN(D3*F3/$C$38, 0)</f>
        <v>28</v>
      </c>
    </row>
    <row r="4" spans="1:9" x14ac:dyDescent="0.25">
      <c r="A4" s="5"/>
      <c r="B4" t="s">
        <v>25</v>
      </c>
      <c r="C4">
        <v>4</v>
      </c>
      <c r="D4">
        <v>120</v>
      </c>
      <c r="E4">
        <f>C4*$C$38</f>
        <v>28</v>
      </c>
      <c r="F4">
        <f t="shared" si="0"/>
        <v>1</v>
      </c>
      <c r="G4">
        <v>7.99</v>
      </c>
      <c r="H4">
        <f t="shared" si="1"/>
        <v>7.99</v>
      </c>
      <c r="I4">
        <f>ROUNDDOWN(D4*F4/$C$38, 0)</f>
        <v>17</v>
      </c>
    </row>
    <row r="5" spans="1:9" x14ac:dyDescent="0.25">
      <c r="A5" s="5"/>
      <c r="B5" t="s">
        <v>26</v>
      </c>
      <c r="C5">
        <v>2</v>
      </c>
      <c r="D5">
        <v>100</v>
      </c>
      <c r="E5">
        <f>C5*$C$38</f>
        <v>14</v>
      </c>
      <c r="F5">
        <f t="shared" si="0"/>
        <v>1</v>
      </c>
      <c r="G5">
        <v>6.96</v>
      </c>
      <c r="H5">
        <f t="shared" si="1"/>
        <v>6.96</v>
      </c>
      <c r="I5">
        <f>ROUNDDOWN(D5*F5/$C$38, 0)</f>
        <v>14</v>
      </c>
    </row>
    <row r="6" spans="1:9" x14ac:dyDescent="0.25">
      <c r="A6" s="5"/>
      <c r="B6" t="s">
        <v>49</v>
      </c>
      <c r="C6">
        <v>6</v>
      </c>
      <c r="D6">
        <v>100</v>
      </c>
      <c r="E6">
        <f>C6*$C$38</f>
        <v>42</v>
      </c>
      <c r="F6">
        <f t="shared" si="0"/>
        <v>1</v>
      </c>
      <c r="G6">
        <v>8.2799999999999994</v>
      </c>
      <c r="H6">
        <f t="shared" si="1"/>
        <v>8.2799999999999994</v>
      </c>
      <c r="I6">
        <f>ROUNDDOWN(D6*F6/$C$38, 0)</f>
        <v>14</v>
      </c>
    </row>
    <row r="7" spans="1:9" x14ac:dyDescent="0.25">
      <c r="A7" s="5"/>
      <c r="B7" t="s">
        <v>12</v>
      </c>
      <c r="C7">
        <v>4</v>
      </c>
      <c r="D7">
        <v>100</v>
      </c>
      <c r="E7">
        <f>C7*$C$38</f>
        <v>28</v>
      </c>
      <c r="F7">
        <f t="shared" si="0"/>
        <v>1</v>
      </c>
      <c r="G7">
        <v>8.2799999999999994</v>
      </c>
      <c r="H7">
        <f t="shared" si="1"/>
        <v>8.2799999999999994</v>
      </c>
      <c r="I7">
        <f>ROUNDDOWN(D7*F7/$C$38, 0)</f>
        <v>14</v>
      </c>
    </row>
    <row r="8" spans="1:9" x14ac:dyDescent="0.25">
      <c r="A8" s="5"/>
      <c r="B8" t="s">
        <v>13</v>
      </c>
      <c r="C8">
        <v>2</v>
      </c>
      <c r="D8">
        <v>50</v>
      </c>
      <c r="E8">
        <f>C8*$C$38</f>
        <v>14</v>
      </c>
      <c r="F8">
        <f t="shared" si="0"/>
        <v>1</v>
      </c>
      <c r="G8">
        <v>7.59</v>
      </c>
      <c r="H8">
        <f t="shared" si="1"/>
        <v>7.59</v>
      </c>
      <c r="I8">
        <f>ROUNDDOWN(D8*F8/$C$38, 0)</f>
        <v>7</v>
      </c>
    </row>
    <row r="9" spans="1:9" x14ac:dyDescent="0.25">
      <c r="A9" s="5"/>
      <c r="B9" t="s">
        <v>48</v>
      </c>
      <c r="C9">
        <v>1</v>
      </c>
      <c r="D9">
        <v>100</v>
      </c>
      <c r="E9">
        <f>C9*$C$38</f>
        <v>7</v>
      </c>
      <c r="F9">
        <f t="shared" si="0"/>
        <v>1</v>
      </c>
      <c r="G9">
        <v>8.68</v>
      </c>
      <c r="H9">
        <f t="shared" si="1"/>
        <v>8.68</v>
      </c>
      <c r="I9">
        <f>ROUNDDOWN(D9*F9/$C$38, 0)</f>
        <v>14</v>
      </c>
    </row>
    <row r="10" spans="1:9" x14ac:dyDescent="0.25">
      <c r="A10" s="5"/>
      <c r="B10" t="s">
        <v>51</v>
      </c>
      <c r="C10">
        <v>2</v>
      </c>
      <c r="D10">
        <v>200</v>
      </c>
      <c r="E10">
        <f>C10*$C$38</f>
        <v>14</v>
      </c>
      <c r="F10">
        <f t="shared" si="0"/>
        <v>1</v>
      </c>
      <c r="G10">
        <v>6.99</v>
      </c>
      <c r="H10">
        <f t="shared" si="1"/>
        <v>6.99</v>
      </c>
      <c r="I10">
        <f>ROUNDDOWN(D10*F10/$C$38, 0)</f>
        <v>28</v>
      </c>
    </row>
    <row r="11" spans="1:9" x14ac:dyDescent="0.25">
      <c r="A11" s="5"/>
      <c r="B11" t="s">
        <v>52</v>
      </c>
      <c r="C11">
        <v>2</v>
      </c>
      <c r="D11">
        <v>100</v>
      </c>
      <c r="E11">
        <f>C11*$C$38</f>
        <v>14</v>
      </c>
      <c r="F11">
        <f t="shared" si="0"/>
        <v>1</v>
      </c>
      <c r="G11">
        <v>7.69</v>
      </c>
      <c r="H11">
        <f t="shared" si="1"/>
        <v>7.69</v>
      </c>
      <c r="I11">
        <f>ROUNDDOWN(D11*F11/$C$38, 0)</f>
        <v>14</v>
      </c>
    </row>
    <row r="12" spans="1:9" x14ac:dyDescent="0.25">
      <c r="A12" s="5" t="s">
        <v>72</v>
      </c>
      <c r="B12" t="s">
        <v>27</v>
      </c>
      <c r="C12">
        <v>12</v>
      </c>
      <c r="D12">
        <v>50</v>
      </c>
      <c r="E12">
        <f>C12*$C$38</f>
        <v>84</v>
      </c>
      <c r="F12">
        <f t="shared" ref="F12:F35" si="2">ROUNDUP(E12/D12,0)</f>
        <v>2</v>
      </c>
      <c r="G12">
        <v>9.99</v>
      </c>
      <c r="H12">
        <f t="shared" si="1"/>
        <v>19.98</v>
      </c>
      <c r="I12">
        <f>ROUNDDOWN(D12*F12/$C$38, 0)</f>
        <v>14</v>
      </c>
    </row>
    <row r="13" spans="1:9" x14ac:dyDescent="0.25">
      <c r="A13" s="5"/>
      <c r="B13" t="s">
        <v>53</v>
      </c>
      <c r="C13">
        <v>2</v>
      </c>
      <c r="D13">
        <v>50</v>
      </c>
      <c r="E13">
        <f>C13*$C$38</f>
        <v>14</v>
      </c>
      <c r="F13">
        <f t="shared" si="2"/>
        <v>1</v>
      </c>
      <c r="G13">
        <v>7.99</v>
      </c>
      <c r="H13">
        <f t="shared" si="1"/>
        <v>7.99</v>
      </c>
      <c r="I13">
        <f>ROUNDDOWN(D13*F13/$C$38, 0)</f>
        <v>7</v>
      </c>
    </row>
    <row r="14" spans="1:9" x14ac:dyDescent="0.25">
      <c r="A14" s="5"/>
      <c r="B14" t="s">
        <v>54</v>
      </c>
      <c r="C14">
        <v>16</v>
      </c>
      <c r="D14">
        <v>100</v>
      </c>
      <c r="E14">
        <f>C14*$C$38</f>
        <v>112</v>
      </c>
      <c r="F14">
        <f t="shared" si="2"/>
        <v>2</v>
      </c>
      <c r="G14">
        <v>9.49</v>
      </c>
      <c r="H14">
        <f t="shared" si="1"/>
        <v>18.98</v>
      </c>
      <c r="I14">
        <f>ROUNDDOWN(D14*F14/$C$38, 0)</f>
        <v>28</v>
      </c>
    </row>
    <row r="15" spans="1:9" x14ac:dyDescent="0.25">
      <c r="A15" s="5"/>
      <c r="B15" t="s">
        <v>41</v>
      </c>
      <c r="C15">
        <v>4</v>
      </c>
      <c r="D15">
        <v>100</v>
      </c>
      <c r="E15">
        <f>C15*$C$38</f>
        <v>28</v>
      </c>
      <c r="F15">
        <f>ROUNDUP(E15/D15,0)</f>
        <v>1</v>
      </c>
      <c r="G15">
        <v>5.69</v>
      </c>
      <c r="H15">
        <f t="shared" si="1"/>
        <v>5.69</v>
      </c>
      <c r="I15">
        <f>ROUNDDOWN(D15*F15/$C$38, 0)</f>
        <v>14</v>
      </c>
    </row>
    <row r="16" spans="1:9" x14ac:dyDescent="0.25">
      <c r="A16" s="5"/>
      <c r="B16" t="s">
        <v>42</v>
      </c>
      <c r="C16">
        <v>2</v>
      </c>
      <c r="D16">
        <v>120</v>
      </c>
      <c r="E16">
        <f>C16*$C$38</f>
        <v>14</v>
      </c>
      <c r="F16">
        <f>ROUNDUP(E16/D16,0)</f>
        <v>1</v>
      </c>
      <c r="G16">
        <v>8.99</v>
      </c>
      <c r="H16">
        <f t="shared" si="1"/>
        <v>8.99</v>
      </c>
      <c r="I16">
        <f>ROUNDDOWN(D16*F16/$C$38, 0)</f>
        <v>17</v>
      </c>
    </row>
    <row r="17" spans="1:9" x14ac:dyDescent="0.25">
      <c r="A17" s="5"/>
      <c r="B17" t="s">
        <v>14</v>
      </c>
      <c r="C17">
        <v>10</v>
      </c>
      <c r="D17">
        <v>50</v>
      </c>
      <c r="E17">
        <f>C17*$C$38</f>
        <v>70</v>
      </c>
      <c r="F17">
        <f>ROUNDUP(E17/D17,0)</f>
        <v>2</v>
      </c>
      <c r="G17">
        <v>6.89</v>
      </c>
      <c r="H17">
        <f t="shared" si="1"/>
        <v>13.78</v>
      </c>
      <c r="I17">
        <f>ROUNDDOWN(D17*F17/$C$38, 0)</f>
        <v>14</v>
      </c>
    </row>
    <row r="18" spans="1:9" x14ac:dyDescent="0.25">
      <c r="A18" s="5"/>
      <c r="B18" t="s">
        <v>43</v>
      </c>
      <c r="C18">
        <v>2</v>
      </c>
      <c r="D18">
        <v>50</v>
      </c>
      <c r="E18">
        <f>C18*$C$38</f>
        <v>14</v>
      </c>
      <c r="F18">
        <f>ROUNDUP(E18/D18,0)</f>
        <v>1</v>
      </c>
      <c r="G18">
        <v>8.4600000000000009</v>
      </c>
      <c r="H18">
        <f t="shared" si="1"/>
        <v>8.4600000000000009</v>
      </c>
      <c r="I18">
        <f>ROUNDDOWN(D18*F18/$C$38, 0)</f>
        <v>7</v>
      </c>
    </row>
    <row r="19" spans="1:9" x14ac:dyDescent="0.25">
      <c r="A19" s="5" t="s">
        <v>73</v>
      </c>
      <c r="B19" t="s">
        <v>30</v>
      </c>
      <c r="C19">
        <v>2</v>
      </c>
      <c r="D19">
        <v>50</v>
      </c>
      <c r="E19">
        <f>C19*$C$38</f>
        <v>14</v>
      </c>
      <c r="F19">
        <f>ROUNDUP(E19/D19,0)</f>
        <v>1</v>
      </c>
      <c r="G19">
        <v>8.86</v>
      </c>
      <c r="H19">
        <f t="shared" si="1"/>
        <v>8.86</v>
      </c>
      <c r="I19">
        <f>ROUNDDOWN(D19*F19/$C$38, 0)</f>
        <v>7</v>
      </c>
    </row>
    <row r="20" spans="1:9" x14ac:dyDescent="0.25">
      <c r="A20" s="5"/>
      <c r="B20" t="s">
        <v>28</v>
      </c>
      <c r="C20">
        <v>0</v>
      </c>
      <c r="D20">
        <v>200</v>
      </c>
      <c r="E20">
        <f>C20*$C$38</f>
        <v>0</v>
      </c>
      <c r="F20">
        <f t="shared" si="2"/>
        <v>0</v>
      </c>
      <c r="G20">
        <v>9.99</v>
      </c>
      <c r="H20">
        <f t="shared" si="1"/>
        <v>0</v>
      </c>
      <c r="I20">
        <f>ROUNDDOWN(D20*F20/$C$38, 0)</f>
        <v>0</v>
      </c>
    </row>
    <row r="21" spans="1:9" x14ac:dyDescent="0.25">
      <c r="A21" s="5"/>
      <c r="B21" t="s">
        <v>56</v>
      </c>
      <c r="C21">
        <v>4</v>
      </c>
      <c r="D21">
        <v>30</v>
      </c>
      <c r="E21">
        <f>C21*$C$38</f>
        <v>28</v>
      </c>
      <c r="F21">
        <f t="shared" si="2"/>
        <v>1</v>
      </c>
      <c r="G21">
        <v>8.11</v>
      </c>
      <c r="H21">
        <f t="shared" si="1"/>
        <v>8.11</v>
      </c>
      <c r="I21">
        <f>ROUNDDOWN(D21*F21/$C$38, 0)</f>
        <v>4</v>
      </c>
    </row>
    <row r="22" spans="1:9" x14ac:dyDescent="0.25">
      <c r="A22" s="5"/>
      <c r="B22" t="s">
        <v>29</v>
      </c>
      <c r="C22">
        <v>6</v>
      </c>
      <c r="D22">
        <v>50</v>
      </c>
      <c r="E22">
        <f>C22*$C$38</f>
        <v>42</v>
      </c>
      <c r="F22">
        <f t="shared" ref="F22:F30" si="3">ROUNDUP(E22/D22,0)</f>
        <v>1</v>
      </c>
      <c r="G22">
        <v>9.99</v>
      </c>
      <c r="H22">
        <f t="shared" si="1"/>
        <v>9.99</v>
      </c>
      <c r="I22">
        <f>ROUNDDOWN(D22*F22/$C$38, 0)</f>
        <v>7</v>
      </c>
    </row>
    <row r="23" spans="1:9" x14ac:dyDescent="0.25">
      <c r="A23" s="5"/>
      <c r="B23" t="s">
        <v>55</v>
      </c>
      <c r="C23">
        <v>2</v>
      </c>
      <c r="D23">
        <v>50</v>
      </c>
      <c r="E23">
        <f>C23*$C$38</f>
        <v>14</v>
      </c>
      <c r="F23">
        <f t="shared" si="3"/>
        <v>1</v>
      </c>
      <c r="G23">
        <v>8.9600000000000009</v>
      </c>
      <c r="H23">
        <f t="shared" si="1"/>
        <v>8.9600000000000009</v>
      </c>
      <c r="I23">
        <f>ROUNDDOWN(D23*F23/$C$38, 0)</f>
        <v>7</v>
      </c>
    </row>
    <row r="24" spans="1:9" x14ac:dyDescent="0.25">
      <c r="A24" s="5"/>
      <c r="B24" t="s">
        <v>57</v>
      </c>
      <c r="C24">
        <v>2</v>
      </c>
      <c r="D24">
        <v>25</v>
      </c>
      <c r="E24">
        <f>C24*$C$38</f>
        <v>14</v>
      </c>
      <c r="F24">
        <f t="shared" si="3"/>
        <v>1</v>
      </c>
      <c r="G24">
        <v>7.99</v>
      </c>
      <c r="H24">
        <f t="shared" si="1"/>
        <v>7.99</v>
      </c>
      <c r="I24">
        <f>ROUNDDOWN(D24*F24/$C$38, 0)</f>
        <v>3</v>
      </c>
    </row>
    <row r="25" spans="1:9" x14ac:dyDescent="0.25">
      <c r="A25" s="5"/>
      <c r="B25" t="s">
        <v>38</v>
      </c>
      <c r="C25">
        <v>2</v>
      </c>
      <c r="D25">
        <v>50</v>
      </c>
      <c r="E25">
        <f>C25*$C$38</f>
        <v>14</v>
      </c>
      <c r="F25">
        <f t="shared" si="3"/>
        <v>1</v>
      </c>
      <c r="G25">
        <v>8.2799999999999994</v>
      </c>
      <c r="H25">
        <f t="shared" si="1"/>
        <v>8.2799999999999994</v>
      </c>
      <c r="I25">
        <f>ROUNDDOWN(D25*F25/$C$38, 0)</f>
        <v>7</v>
      </c>
    </row>
    <row r="26" spans="1:9" x14ac:dyDescent="0.25">
      <c r="A26" s="5"/>
      <c r="B26" t="s">
        <v>39</v>
      </c>
      <c r="C26">
        <v>2</v>
      </c>
      <c r="D26">
        <v>30</v>
      </c>
      <c r="E26">
        <f>C26*$C$38</f>
        <v>14</v>
      </c>
      <c r="F26">
        <f t="shared" si="3"/>
        <v>1</v>
      </c>
      <c r="G26">
        <v>9.99</v>
      </c>
      <c r="H26">
        <f t="shared" si="1"/>
        <v>9.99</v>
      </c>
      <c r="I26">
        <f>ROUNDDOWN(D26*F26/$C$38, 0)</f>
        <v>4</v>
      </c>
    </row>
    <row r="27" spans="1:9" x14ac:dyDescent="0.25">
      <c r="A27" s="3" t="s">
        <v>154</v>
      </c>
      <c r="B27" t="s">
        <v>155</v>
      </c>
      <c r="C27">
        <v>6</v>
      </c>
      <c r="D27">
        <v>50</v>
      </c>
      <c r="E27">
        <f>C27*$C$38</f>
        <v>42</v>
      </c>
      <c r="F27">
        <f t="shared" si="3"/>
        <v>1</v>
      </c>
      <c r="G27">
        <v>6.19</v>
      </c>
      <c r="H27">
        <f t="shared" si="1"/>
        <v>6.19</v>
      </c>
      <c r="I27">
        <f>ROUNDDOWN(D27*F27/$C$38, 0)</f>
        <v>7</v>
      </c>
    </row>
    <row r="28" spans="1:9" x14ac:dyDescent="0.25">
      <c r="A28" s="3"/>
      <c r="B28" t="s">
        <v>156</v>
      </c>
      <c r="C28">
        <v>6</v>
      </c>
      <c r="D28">
        <v>100</v>
      </c>
      <c r="E28">
        <f>C28*$C$38</f>
        <v>42</v>
      </c>
      <c r="F28">
        <f t="shared" si="3"/>
        <v>1</v>
      </c>
      <c r="G28">
        <v>5.19</v>
      </c>
      <c r="H28">
        <f t="shared" si="1"/>
        <v>5.19</v>
      </c>
      <c r="I28">
        <f>ROUNDDOWN(D28*F28/$C$38, 0)</f>
        <v>14</v>
      </c>
    </row>
    <row r="29" spans="1:9" x14ac:dyDescent="0.25">
      <c r="A29" s="5" t="s">
        <v>74</v>
      </c>
      <c r="B29" t="s">
        <v>37</v>
      </c>
      <c r="C29">
        <v>2</v>
      </c>
      <c r="D29">
        <v>20</v>
      </c>
      <c r="E29">
        <f>C29*$C$38</f>
        <v>14</v>
      </c>
      <c r="F29">
        <f t="shared" si="3"/>
        <v>1</v>
      </c>
      <c r="G29">
        <v>5.99</v>
      </c>
      <c r="H29">
        <f t="shared" si="1"/>
        <v>5.99</v>
      </c>
      <c r="I29">
        <f>ROUNDDOWN(D29*F29/$C$38, 0)</f>
        <v>2</v>
      </c>
    </row>
    <row r="30" spans="1:9" x14ac:dyDescent="0.25">
      <c r="A30" s="5"/>
      <c r="B30" t="s">
        <v>58</v>
      </c>
      <c r="C30">
        <v>2</v>
      </c>
      <c r="D30">
        <v>30</v>
      </c>
      <c r="E30">
        <f>C30*$C$38</f>
        <v>14</v>
      </c>
      <c r="F30">
        <f t="shared" si="3"/>
        <v>1</v>
      </c>
      <c r="G30">
        <v>8.5399999999999991</v>
      </c>
      <c r="H30">
        <f t="shared" si="1"/>
        <v>8.5399999999999991</v>
      </c>
      <c r="I30">
        <f>ROUNDDOWN(D30*F30/$C$38, 0)</f>
        <v>4</v>
      </c>
    </row>
    <row r="31" spans="1:9" x14ac:dyDescent="0.25">
      <c r="A31" s="5"/>
      <c r="B31" t="s">
        <v>59</v>
      </c>
      <c r="C31">
        <v>2</v>
      </c>
      <c r="D31">
        <v>20</v>
      </c>
      <c r="E31">
        <f>C31*$C$38</f>
        <v>14</v>
      </c>
      <c r="F31">
        <f t="shared" si="2"/>
        <v>1</v>
      </c>
      <c r="G31">
        <v>8.99</v>
      </c>
      <c r="H31">
        <f t="shared" si="1"/>
        <v>8.99</v>
      </c>
      <c r="I31">
        <f>ROUNDDOWN(D31*F31/$C$38, 0)</f>
        <v>2</v>
      </c>
    </row>
    <row r="32" spans="1:9" ht="13.5" customHeight="1" x14ac:dyDescent="0.25">
      <c r="A32" s="2" t="s">
        <v>75</v>
      </c>
      <c r="B32" t="s">
        <v>33</v>
      </c>
      <c r="C32">
        <v>4</v>
      </c>
      <c r="D32">
        <v>50</v>
      </c>
      <c r="E32">
        <f>C32*$C$38</f>
        <v>28</v>
      </c>
      <c r="F32">
        <f>ROUNDUP(E32/D32,0)</f>
        <v>1</v>
      </c>
      <c r="G32">
        <v>6.19</v>
      </c>
      <c r="H32">
        <f t="shared" si="1"/>
        <v>6.19</v>
      </c>
      <c r="I32">
        <f>ROUNDDOWN(D32*F32/$C$38, 0)</f>
        <v>7</v>
      </c>
    </row>
    <row r="33" spans="1:9" x14ac:dyDescent="0.25">
      <c r="A33" s="5" t="s">
        <v>76</v>
      </c>
      <c r="B33" t="s">
        <v>36</v>
      </c>
      <c r="C33">
        <v>6</v>
      </c>
      <c r="D33">
        <v>20</v>
      </c>
      <c r="E33">
        <f>C33*$C$38</f>
        <v>42</v>
      </c>
      <c r="F33">
        <f t="shared" si="2"/>
        <v>3</v>
      </c>
      <c r="G33">
        <v>6.99</v>
      </c>
      <c r="H33">
        <f t="shared" si="1"/>
        <v>20.97</v>
      </c>
      <c r="I33">
        <f>ROUNDDOWN(D33*F33/$C$38, 0)</f>
        <v>8</v>
      </c>
    </row>
    <row r="34" spans="1:9" x14ac:dyDescent="0.25">
      <c r="A34" s="5"/>
      <c r="B34" t="s">
        <v>44</v>
      </c>
      <c r="C34">
        <v>1</v>
      </c>
      <c r="D34">
        <v>10</v>
      </c>
      <c r="E34">
        <f>C34*$C$38</f>
        <v>7</v>
      </c>
      <c r="F34">
        <f>ROUNDUP(E34/D34,0)</f>
        <v>1</v>
      </c>
      <c r="G34">
        <v>9.69</v>
      </c>
      <c r="H34">
        <f t="shared" si="1"/>
        <v>9.69</v>
      </c>
      <c r="I34">
        <f>ROUNDDOWN(D34*F34/$C$38, 0)</f>
        <v>1</v>
      </c>
    </row>
    <row r="35" spans="1:9" x14ac:dyDescent="0.25">
      <c r="A35" s="5"/>
      <c r="B35" t="s">
        <v>40</v>
      </c>
      <c r="C35">
        <v>1</v>
      </c>
      <c r="D35">
        <v>20</v>
      </c>
      <c r="E35">
        <f>C35*$C$38</f>
        <v>7</v>
      </c>
      <c r="F35">
        <f t="shared" si="2"/>
        <v>1</v>
      </c>
      <c r="G35">
        <v>26</v>
      </c>
      <c r="H35">
        <f t="shared" si="1"/>
        <v>26</v>
      </c>
      <c r="I35">
        <f>ROUNDDOWN(D35*F35/$C$38, 0)</f>
        <v>2</v>
      </c>
    </row>
    <row r="36" spans="1:9" x14ac:dyDescent="0.25">
      <c r="A36" s="5"/>
      <c r="B36" t="s">
        <v>61</v>
      </c>
      <c r="F36">
        <v>1</v>
      </c>
      <c r="G36">
        <v>11.59</v>
      </c>
      <c r="H36">
        <f t="shared" si="1"/>
        <v>11.59</v>
      </c>
    </row>
    <row r="38" spans="1:9" x14ac:dyDescent="0.25">
      <c r="B38" t="s">
        <v>45</v>
      </c>
      <c r="C38">
        <f>SUM(C39:C41)</f>
        <v>7</v>
      </c>
      <c r="G38" t="s">
        <v>64</v>
      </c>
      <c r="H38">
        <f>SUM(H2:H37)</f>
        <v>342.5200000000001</v>
      </c>
    </row>
    <row r="39" spans="1:9" x14ac:dyDescent="0.25">
      <c r="B39" t="s">
        <v>1</v>
      </c>
      <c r="C39">
        <v>1</v>
      </c>
      <c r="G39" t="s">
        <v>63</v>
      </c>
      <c r="H39">
        <v>11.96</v>
      </c>
    </row>
    <row r="40" spans="1:9" x14ac:dyDescent="0.25">
      <c r="B40" t="s">
        <v>0</v>
      </c>
      <c r="C40">
        <v>3</v>
      </c>
      <c r="G40" t="s">
        <v>65</v>
      </c>
      <c r="H40">
        <f>H38+H39</f>
        <v>354.48000000000008</v>
      </c>
    </row>
    <row r="41" spans="1:9" x14ac:dyDescent="0.25">
      <c r="B41" t="s">
        <v>69</v>
      </c>
      <c r="C41">
        <v>3</v>
      </c>
      <c r="G41" t="s">
        <v>60</v>
      </c>
      <c r="H41">
        <f>H40/C38</f>
        <v>50.640000000000008</v>
      </c>
    </row>
  </sheetData>
  <mergeCells count="5">
    <mergeCell ref="A2:A11"/>
    <mergeCell ref="A12:A18"/>
    <mergeCell ref="A19:A26"/>
    <mergeCell ref="A29:A31"/>
    <mergeCell ref="A33:A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A380A-6B65-4EF5-8C07-FFBB17288005}">
  <dimension ref="A1:G24"/>
  <sheetViews>
    <sheetView workbookViewId="0">
      <selection activeCell="A25" sqref="A25:XFD25"/>
    </sheetView>
  </sheetViews>
  <sheetFormatPr defaultRowHeight="15" x14ac:dyDescent="0.25"/>
  <cols>
    <col min="2" max="2" width="44.42578125" customWidth="1"/>
    <col min="3" max="3" width="9.28515625" customWidth="1"/>
    <col min="4" max="4" width="9.85546875" customWidth="1"/>
    <col min="5" max="5" width="34.5703125" customWidth="1"/>
    <col min="6" max="6" width="93.85546875" customWidth="1"/>
    <col min="7" max="7" width="33.85546875" customWidth="1"/>
  </cols>
  <sheetData>
    <row r="1" spans="1:7" x14ac:dyDescent="0.25">
      <c r="A1" t="s">
        <v>114</v>
      </c>
      <c r="B1" t="s">
        <v>77</v>
      </c>
      <c r="C1" t="s">
        <v>84</v>
      </c>
      <c r="D1" t="s">
        <v>78</v>
      </c>
      <c r="E1" t="s">
        <v>79</v>
      </c>
      <c r="F1" t="s">
        <v>104</v>
      </c>
      <c r="G1" t="s">
        <v>16</v>
      </c>
    </row>
    <row r="2" spans="1:7" x14ac:dyDescent="0.25">
      <c r="A2" s="4" t="s">
        <v>107</v>
      </c>
      <c r="B2" t="s">
        <v>80</v>
      </c>
      <c r="C2">
        <v>71</v>
      </c>
      <c r="D2">
        <v>1</v>
      </c>
      <c r="E2" t="s">
        <v>17</v>
      </c>
      <c r="F2" t="s">
        <v>105</v>
      </c>
      <c r="G2" s="1" t="s">
        <v>18</v>
      </c>
    </row>
    <row r="3" spans="1:7" x14ac:dyDescent="0.25">
      <c r="A3" s="4"/>
      <c r="B3" t="s">
        <v>81</v>
      </c>
      <c r="C3">
        <v>71</v>
      </c>
      <c r="D3">
        <v>1</v>
      </c>
      <c r="E3" t="s">
        <v>82</v>
      </c>
      <c r="F3" t="s">
        <v>106</v>
      </c>
      <c r="G3" s="1" t="s">
        <v>83</v>
      </c>
    </row>
    <row r="4" spans="1:7" x14ac:dyDescent="0.25">
      <c r="A4" s="4"/>
      <c r="B4" t="s">
        <v>19</v>
      </c>
      <c r="C4">
        <v>82</v>
      </c>
      <c r="D4">
        <v>1</v>
      </c>
      <c r="E4" t="s">
        <v>20</v>
      </c>
      <c r="G4" s="1" t="s">
        <v>21</v>
      </c>
    </row>
    <row r="5" spans="1:7" x14ac:dyDescent="0.25">
      <c r="A5" s="4"/>
      <c r="B5" t="s">
        <v>122</v>
      </c>
      <c r="C5">
        <v>47</v>
      </c>
      <c r="D5">
        <v>1</v>
      </c>
      <c r="E5" t="s">
        <v>121</v>
      </c>
      <c r="G5" s="1" t="s">
        <v>35</v>
      </c>
    </row>
    <row r="6" spans="1:7" x14ac:dyDescent="0.25">
      <c r="A6" s="4"/>
      <c r="B6" t="s">
        <v>136</v>
      </c>
      <c r="C6">
        <v>90</v>
      </c>
      <c r="D6">
        <v>1</v>
      </c>
      <c r="E6" t="s">
        <v>137</v>
      </c>
      <c r="F6" t="s">
        <v>138</v>
      </c>
      <c r="G6" s="1"/>
    </row>
    <row r="7" spans="1:7" x14ac:dyDescent="0.25">
      <c r="A7" s="6" t="s">
        <v>3</v>
      </c>
      <c r="B7" t="s">
        <v>8</v>
      </c>
      <c r="C7">
        <v>39</v>
      </c>
      <c r="F7" t="s">
        <v>115</v>
      </c>
      <c r="G7" s="1" t="s">
        <v>113</v>
      </c>
    </row>
    <row r="8" spans="1:7" x14ac:dyDescent="0.25">
      <c r="A8" s="6"/>
      <c r="B8" t="s">
        <v>9</v>
      </c>
      <c r="C8">
        <v>11</v>
      </c>
      <c r="G8" t="s">
        <v>10</v>
      </c>
    </row>
    <row r="9" spans="1:7" x14ac:dyDescent="0.25">
      <c r="A9" s="6" t="s">
        <v>2</v>
      </c>
      <c r="B9" t="s">
        <v>9</v>
      </c>
      <c r="C9">
        <v>11</v>
      </c>
      <c r="F9" t="s">
        <v>116</v>
      </c>
      <c r="G9" t="s">
        <v>10</v>
      </c>
    </row>
    <row r="10" spans="1:7" x14ac:dyDescent="0.25">
      <c r="A10" s="6"/>
      <c r="B10" t="s">
        <v>15</v>
      </c>
      <c r="C10">
        <v>60</v>
      </c>
      <c r="G10" t="s">
        <v>120</v>
      </c>
    </row>
    <row r="11" spans="1:7" x14ac:dyDescent="0.25">
      <c r="A11" s="6" t="s">
        <v>76</v>
      </c>
      <c r="B11" t="s">
        <v>66</v>
      </c>
      <c r="C11">
        <v>10</v>
      </c>
      <c r="F11" t="s">
        <v>117</v>
      </c>
    </row>
    <row r="12" spans="1:7" x14ac:dyDescent="0.25">
      <c r="A12" s="6"/>
      <c r="B12" t="s">
        <v>67</v>
      </c>
      <c r="C12">
        <v>10</v>
      </c>
      <c r="F12" t="s">
        <v>118</v>
      </c>
    </row>
    <row r="13" spans="1:7" x14ac:dyDescent="0.25">
      <c r="A13" s="6"/>
      <c r="B13" t="s">
        <v>31</v>
      </c>
      <c r="C13">
        <v>10</v>
      </c>
      <c r="D13">
        <v>1</v>
      </c>
      <c r="G13" t="s">
        <v>32</v>
      </c>
    </row>
    <row r="14" spans="1:7" x14ac:dyDescent="0.25">
      <c r="A14" s="6"/>
      <c r="B14" t="s">
        <v>22</v>
      </c>
      <c r="C14">
        <v>10</v>
      </c>
      <c r="D14">
        <v>1</v>
      </c>
      <c r="G14" s="1" t="s">
        <v>23</v>
      </c>
    </row>
    <row r="15" spans="1:7" x14ac:dyDescent="0.25">
      <c r="A15" s="6"/>
      <c r="B15" t="s">
        <v>143</v>
      </c>
      <c r="G15" s="1"/>
    </row>
    <row r="16" spans="1:7" x14ac:dyDescent="0.25">
      <c r="A16" s="6"/>
      <c r="B16" t="s">
        <v>144</v>
      </c>
      <c r="F16" t="s">
        <v>145</v>
      </c>
      <c r="G16" s="1"/>
    </row>
    <row r="17" spans="1:7" x14ac:dyDescent="0.25">
      <c r="A17" s="6" t="s">
        <v>119</v>
      </c>
      <c r="B17" t="s">
        <v>103</v>
      </c>
      <c r="C17">
        <v>15</v>
      </c>
      <c r="D17">
        <v>1</v>
      </c>
      <c r="F17" t="s">
        <v>149</v>
      </c>
      <c r="G17" t="s">
        <v>112</v>
      </c>
    </row>
    <row r="18" spans="1:7" x14ac:dyDescent="0.25">
      <c r="A18" s="6"/>
      <c r="B18" t="s">
        <v>24</v>
      </c>
      <c r="C18">
        <v>10</v>
      </c>
      <c r="D18">
        <v>1</v>
      </c>
      <c r="F18" t="s">
        <v>150</v>
      </c>
      <c r="G18" s="1" t="s">
        <v>151</v>
      </c>
    </row>
    <row r="19" spans="1:7" x14ac:dyDescent="0.25">
      <c r="A19" s="6"/>
      <c r="B19" t="s">
        <v>34</v>
      </c>
      <c r="C19">
        <v>10</v>
      </c>
      <c r="D19">
        <v>1</v>
      </c>
      <c r="F19" t="s">
        <v>135</v>
      </c>
      <c r="G19" s="1" t="s">
        <v>152</v>
      </c>
    </row>
    <row r="20" spans="1:7" x14ac:dyDescent="0.25">
      <c r="A20" t="s">
        <v>141</v>
      </c>
      <c r="B20" t="s">
        <v>142</v>
      </c>
    </row>
    <row r="21" spans="1:7" x14ac:dyDescent="0.25">
      <c r="B21" t="s">
        <v>146</v>
      </c>
    </row>
    <row r="22" spans="1:7" x14ac:dyDescent="0.25">
      <c r="B22" t="s">
        <v>147</v>
      </c>
    </row>
    <row r="23" spans="1:7" x14ac:dyDescent="0.25">
      <c r="B23" t="s">
        <v>148</v>
      </c>
      <c r="F23" t="s">
        <v>153</v>
      </c>
    </row>
    <row r="24" spans="1:7" x14ac:dyDescent="0.25">
      <c r="A24" t="s">
        <v>157</v>
      </c>
      <c r="B24" t="s">
        <v>158</v>
      </c>
      <c r="C24">
        <v>5</v>
      </c>
      <c r="D24">
        <v>6</v>
      </c>
      <c r="F24" t="s">
        <v>159</v>
      </c>
    </row>
  </sheetData>
  <mergeCells count="4">
    <mergeCell ref="A11:A16"/>
    <mergeCell ref="A7:A8"/>
    <mergeCell ref="A17:A19"/>
    <mergeCell ref="A9:A10"/>
  </mergeCells>
  <hyperlinks>
    <hyperlink ref="G4" r:id="rId1" xr:uid="{D8020B17-36F4-42BE-989B-606D697324CD}"/>
    <hyperlink ref="G2" r:id="rId2" xr:uid="{648DEFD1-4FB9-4C4D-92B6-E5C09BB45F82}"/>
    <hyperlink ref="G14" r:id="rId3" xr:uid="{7BA4D992-B359-41E6-B2D8-F14E5663B57B}"/>
    <hyperlink ref="G18" r:id="rId4" xr:uid="{201F35F3-1004-416D-B15F-6B3750748D31}"/>
    <hyperlink ref="G5" r:id="rId5" xr:uid="{6CBB7A48-8C11-4A40-9851-1F1046887BD1}"/>
    <hyperlink ref="G7" r:id="rId6" xr:uid="{A3FC77A4-7EBA-4C67-ADFB-A2005BDF358D}"/>
    <hyperlink ref="G19" r:id="rId7" xr:uid="{19900849-9C4C-498F-9375-C01401BC707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45743-93B1-40ED-B7F3-24EFC842C22B}">
  <dimension ref="B3:G14"/>
  <sheetViews>
    <sheetView workbookViewId="0">
      <selection activeCell="D23" sqref="D23:D24"/>
    </sheetView>
  </sheetViews>
  <sheetFormatPr defaultRowHeight="15" x14ac:dyDescent="0.25"/>
  <cols>
    <col min="2" max="2" width="12.85546875" customWidth="1"/>
    <col min="3" max="3" width="16.5703125" customWidth="1"/>
    <col min="4" max="4" width="37.85546875" customWidth="1"/>
    <col min="5" max="5" width="15.7109375" customWidth="1"/>
    <col min="7" max="7" width="29.28515625" customWidth="1"/>
  </cols>
  <sheetData>
    <row r="3" spans="2:7" x14ac:dyDescent="0.25">
      <c r="B3" t="s">
        <v>77</v>
      </c>
      <c r="C3" t="s">
        <v>126</v>
      </c>
      <c r="D3" t="s">
        <v>123</v>
      </c>
      <c r="E3" t="s">
        <v>124</v>
      </c>
      <c r="F3" t="s">
        <v>132</v>
      </c>
      <c r="G3" t="s">
        <v>16</v>
      </c>
    </row>
    <row r="4" spans="2:7" x14ac:dyDescent="0.25">
      <c r="B4" t="s">
        <v>107</v>
      </c>
      <c r="C4" t="s">
        <v>127</v>
      </c>
      <c r="D4" t="s">
        <v>125</v>
      </c>
      <c r="E4">
        <v>1200</v>
      </c>
      <c r="F4">
        <v>80</v>
      </c>
      <c r="G4" t="s">
        <v>133</v>
      </c>
    </row>
    <row r="5" spans="2:7" x14ac:dyDescent="0.25">
      <c r="B5" t="s">
        <v>107</v>
      </c>
      <c r="C5" t="s">
        <v>128</v>
      </c>
      <c r="D5" t="s">
        <v>129</v>
      </c>
      <c r="E5">
        <v>600</v>
      </c>
      <c r="F5">
        <v>20</v>
      </c>
      <c r="G5" t="s">
        <v>134</v>
      </c>
    </row>
    <row r="6" spans="2:7" x14ac:dyDescent="0.25">
      <c r="B6" t="s">
        <v>3</v>
      </c>
      <c r="C6" t="s">
        <v>130</v>
      </c>
      <c r="D6" t="s">
        <v>131</v>
      </c>
      <c r="E6">
        <v>425</v>
      </c>
    </row>
    <row r="7" spans="2:7" x14ac:dyDescent="0.25">
      <c r="B7" t="s">
        <v>2</v>
      </c>
      <c r="C7" t="s">
        <v>130</v>
      </c>
      <c r="D7" t="s">
        <v>131</v>
      </c>
      <c r="E7">
        <v>500</v>
      </c>
    </row>
    <row r="11" spans="2:7" x14ac:dyDescent="0.25">
      <c r="D11" t="s">
        <v>110</v>
      </c>
    </row>
    <row r="12" spans="2:7" x14ac:dyDescent="0.25">
      <c r="D12" t="s">
        <v>108</v>
      </c>
    </row>
    <row r="13" spans="2:7" x14ac:dyDescent="0.25">
      <c r="D13" t="s">
        <v>109</v>
      </c>
    </row>
    <row r="14" spans="2:7" x14ac:dyDescent="0.25">
      <c r="D14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8B32B-A905-430A-A86C-7903E62B648D}">
  <dimension ref="B1:E8"/>
  <sheetViews>
    <sheetView workbookViewId="0">
      <selection activeCell="C12" sqref="C12"/>
    </sheetView>
  </sheetViews>
  <sheetFormatPr defaultRowHeight="15" x14ac:dyDescent="0.25"/>
  <cols>
    <col min="2" max="2" width="39.5703125" customWidth="1"/>
    <col min="3" max="3" width="20.140625" customWidth="1"/>
    <col min="4" max="4" width="90" customWidth="1"/>
    <col min="5" max="5" width="35.28515625" customWidth="1"/>
  </cols>
  <sheetData>
    <row r="1" spans="2:5" x14ac:dyDescent="0.25">
      <c r="C1" t="s">
        <v>87</v>
      </c>
      <c r="D1" t="s">
        <v>140</v>
      </c>
      <c r="E1" t="s">
        <v>139</v>
      </c>
    </row>
    <row r="2" spans="2:5" x14ac:dyDescent="0.25">
      <c r="B2" t="s">
        <v>85</v>
      </c>
      <c r="C2" t="s">
        <v>88</v>
      </c>
      <c r="D2" t="s">
        <v>86</v>
      </c>
      <c r="E2" t="s">
        <v>89</v>
      </c>
    </row>
    <row r="3" spans="2:5" x14ac:dyDescent="0.25">
      <c r="B3" t="s">
        <v>90</v>
      </c>
      <c r="C3" t="s">
        <v>88</v>
      </c>
      <c r="D3" t="s">
        <v>91</v>
      </c>
      <c r="E3" t="s">
        <v>92</v>
      </c>
    </row>
    <row r="4" spans="2:5" x14ac:dyDescent="0.25">
      <c r="B4" t="s">
        <v>93</v>
      </c>
      <c r="E4" t="s">
        <v>94</v>
      </c>
    </row>
    <row r="5" spans="2:5" x14ac:dyDescent="0.25">
      <c r="B5" t="s">
        <v>96</v>
      </c>
      <c r="C5" t="s">
        <v>88</v>
      </c>
      <c r="D5" t="s">
        <v>95</v>
      </c>
    </row>
    <row r="6" spans="2:5" x14ac:dyDescent="0.25">
      <c r="B6" t="s">
        <v>97</v>
      </c>
      <c r="D6" t="s">
        <v>98</v>
      </c>
    </row>
    <row r="7" spans="2:5" x14ac:dyDescent="0.25">
      <c r="B7" t="s">
        <v>99</v>
      </c>
      <c r="D7" t="s">
        <v>100</v>
      </c>
    </row>
    <row r="8" spans="2:5" x14ac:dyDescent="0.25">
      <c r="B8" t="s">
        <v>101</v>
      </c>
      <c r="D8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 Buy</vt:lpstr>
      <vt:lpstr>Individual Purchases</vt:lpstr>
      <vt:lpstr>Filament Needed</vt:lpstr>
      <vt:lpstr>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Tartamella</dc:creator>
  <cp:keywords/>
  <dc:description/>
  <cp:lastModifiedBy>Chris Tartamella</cp:lastModifiedBy>
  <cp:revision/>
  <dcterms:created xsi:type="dcterms:W3CDTF">2026-02-07T21:44:03Z</dcterms:created>
  <dcterms:modified xsi:type="dcterms:W3CDTF">2026-03-25T00:00:36Z</dcterms:modified>
  <cp:category/>
  <cp:contentStatus/>
</cp:coreProperties>
</file>